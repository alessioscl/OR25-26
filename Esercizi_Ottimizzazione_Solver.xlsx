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alessiosclafani/Desktop/PhD/lessons/OR2025/"/>
    </mc:Choice>
  </mc:AlternateContent>
  <xr:revisionPtr revIDLastSave="0" documentId="13_ncr:1_{8CE0CDC0-28C9-B24B-8B19-E5E1902C7C79}" xr6:coauthVersionLast="47" xr6:coauthVersionMax="47" xr10:uidLastSave="{00000000-0000-0000-0000-000000000000}"/>
  <bookViews>
    <workbookView xWindow="0" yWindow="760" windowWidth="29260" windowHeight="17140" tabRatio="500" activeTab="3" xr2:uid="{00000000-000D-0000-FFFF-FFFF00000000}"/>
  </bookViews>
  <sheets>
    <sheet name="0_Istruzioni" sheetId="1" r:id="rId1"/>
    <sheet name="1_Mix_Produttivo" sheetId="2" r:id="rId2"/>
    <sheet name="2_Rete_Logistica" sheetId="3" r:id="rId3"/>
    <sheet name="3_Pianificazione_Setup" sheetId="4" r:id="rId4"/>
    <sheet name="4_Knapsack_Progetti" sheetId="5" r:id="rId5"/>
  </sheets>
  <definedNames>
    <definedName name="solver_adj" localSheetId="2" hidden="1">'2_Rete_Logistica'!$B$17:$E$19</definedName>
    <definedName name="solver_adj" localSheetId="3" hidden="1">'3_Pianificazione_Setup'!$B$29:$E$31,'3_Pianificazione_Setup'!$B$24:$E$26,'3_Pianificazione_Setup'!$B$34:$E$36</definedName>
    <definedName name="solver_adj" localSheetId="4" hidden="1">'4_Knapsack_Progetti'!$B$19:$B$24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eng" localSheetId="2" hidden="1">2</definedName>
    <definedName name="solver_eng" localSheetId="3" hidden="1">2</definedName>
    <definedName name="solver_eng" localSheetId="4" hidden="1">1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lhs1" localSheetId="2" hidden="1">'2_Rete_Logistica'!$B$17:$E$19</definedName>
    <definedName name="solver_lhs1" localSheetId="3" hidden="1">'3_Pianificazione_Setup'!$B$24</definedName>
    <definedName name="solver_lhs1" localSheetId="4" hidden="1">'4_Knapsack_Progetti'!$B$19:$B$24</definedName>
    <definedName name="solver_lhs10" localSheetId="3" hidden="1">'3_Pianificazione_Setup'!$K$29</definedName>
    <definedName name="solver_lhs2" localSheetId="2" hidden="1">'2_Rete_Logistica'!$B$20</definedName>
    <definedName name="solver_lhs2" localSheetId="3" hidden="1">'3_Pianificazione_Setup'!$B$24:$E$26</definedName>
    <definedName name="solver_lhs2" localSheetId="4" hidden="1">'4_Knapsack_Progetti'!$B$31</definedName>
    <definedName name="solver_lhs3" localSheetId="2" hidden="1">'2_Rete_Logistica'!$C$20</definedName>
    <definedName name="solver_lhs3" localSheetId="3" hidden="1">'3_Pianificazione_Setup'!$B$29:$E$31</definedName>
    <definedName name="solver_lhs3" localSheetId="4" hidden="1">'4_Knapsack_Progetti'!$B$32</definedName>
    <definedName name="solver_lhs4" localSheetId="2" hidden="1">'2_Rete_Logistica'!$D$20</definedName>
    <definedName name="solver_lhs4" localSheetId="3" hidden="1">'3_Pianificazione_Setup'!$B$34:$E$36</definedName>
    <definedName name="solver_lhs5" localSheetId="2" hidden="1">'2_Rete_Logistica'!$E$20</definedName>
    <definedName name="solver_lhs5" localSheetId="3" hidden="1">'3_Pianificazione_Setup'!$C$24</definedName>
    <definedName name="solver_lhs6" localSheetId="2" hidden="1">'2_Rete_Logistica'!$F$17</definedName>
    <definedName name="solver_lhs6" localSheetId="3" hidden="1">'3_Pianificazione_Setup'!$D$24</definedName>
    <definedName name="solver_lhs7" localSheetId="2" hidden="1">'2_Rete_Logistica'!$F$18</definedName>
    <definedName name="solver_lhs7" localSheetId="3" hidden="1">'3_Pianificazione_Setup'!$E$34</definedName>
    <definedName name="solver_lhs8" localSheetId="2" hidden="1">'2_Rete_Logistica'!$F$19</definedName>
    <definedName name="solver_lhs8" localSheetId="3" hidden="1">'3_Pianificazione_Setup'!$E$35</definedName>
    <definedName name="solver_lhs9" localSheetId="3" hidden="1">'3_Pianificazione_Setup'!$E$36</definedName>
    <definedName name="solver_lin" localSheetId="2" hidden="1">1</definedName>
    <definedName name="solver_lin" localSheetId="3" hidden="1">1</definedName>
    <definedName name="solver_lin" localSheetId="4" hidden="1">2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um" localSheetId="2" hidden="1">8</definedName>
    <definedName name="solver_num" localSheetId="3" hidden="1">10</definedName>
    <definedName name="solver_num" localSheetId="4" hidden="1">3</definedName>
    <definedName name="solver_opt" localSheetId="2" hidden="1">'2_Rete_Logistica'!$B$23</definedName>
    <definedName name="solver_opt" localSheetId="3" hidden="1">'3_Pianificazione_Setup'!$B$41</definedName>
    <definedName name="solver_opt" localSheetId="4" hidden="1">'4_Knapsack_Progetti'!$B$27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el1" localSheetId="2" hidden="1">3</definedName>
    <definedName name="solver_rel1" localSheetId="3" hidden="1">1</definedName>
    <definedName name="solver_rel1" localSheetId="4" hidden="1">5</definedName>
    <definedName name="solver_rel10" localSheetId="3" hidden="1">1</definedName>
    <definedName name="solver_rel2" localSheetId="2" hidden="1">3</definedName>
    <definedName name="solver_rel2" localSheetId="3" hidden="1">3</definedName>
    <definedName name="solver_rel2" localSheetId="4" hidden="1">1</definedName>
    <definedName name="solver_rel3" localSheetId="2" hidden="1">3</definedName>
    <definedName name="solver_rel3" localSheetId="3" hidden="1">5</definedName>
    <definedName name="solver_rel3" localSheetId="4" hidden="1">1</definedName>
    <definedName name="solver_rel4" localSheetId="2" hidden="1">3</definedName>
    <definedName name="solver_rel4" localSheetId="3" hidden="1">3</definedName>
    <definedName name="solver_rel5" localSheetId="2" hidden="1">3</definedName>
    <definedName name="solver_rel5" localSheetId="3" hidden="1">1</definedName>
    <definedName name="solver_rel6" localSheetId="2" hidden="1">1</definedName>
    <definedName name="solver_rel6" localSheetId="3" hidden="1">1</definedName>
    <definedName name="solver_rel7" localSheetId="2" hidden="1">1</definedName>
    <definedName name="solver_rel7" localSheetId="3" hidden="1">2</definedName>
    <definedName name="solver_rel8" localSheetId="2" hidden="1">1</definedName>
    <definedName name="solver_rel8" localSheetId="3" hidden="1">2</definedName>
    <definedName name="solver_rel9" localSheetId="3" hidden="1">2</definedName>
    <definedName name="solver_rhs1" localSheetId="2" hidden="1">0</definedName>
    <definedName name="solver_rhs1" localSheetId="3" hidden="1">'3_Pianificazione_Setup'!$H$29</definedName>
    <definedName name="solver_rhs1" localSheetId="4" hidden="1">"binario"</definedName>
    <definedName name="solver_rhs10" localSheetId="3" hidden="1">'3_Pianificazione_Setup'!$K$29</definedName>
    <definedName name="solver_rhs2" localSheetId="2" hidden="1">'2_Rete_Logistica'!$E$11</definedName>
    <definedName name="solver_rhs2" localSheetId="3" hidden="1">0</definedName>
    <definedName name="solver_rhs2" localSheetId="4" hidden="1">'4_Knapsack_Progetti'!$B$14</definedName>
    <definedName name="solver_rhs3" localSheetId="2" hidden="1">'2_Rete_Logistica'!$E$12</definedName>
    <definedName name="solver_rhs3" localSheetId="3" hidden="1">"binario"</definedName>
    <definedName name="solver_rhs3" localSheetId="4" hidden="1">'4_Knapsack_Progetti'!$B$15</definedName>
    <definedName name="solver_rhs4" localSheetId="2" hidden="1">'2_Rete_Logistica'!$E$13</definedName>
    <definedName name="solver_rhs4" localSheetId="3" hidden="1">0</definedName>
    <definedName name="solver_rhs5" localSheetId="2" hidden="1">'2_Rete_Logistica'!$E$14</definedName>
    <definedName name="solver_rhs5" localSheetId="3" hidden="1">'3_Pianificazione_Setup'!$I$29</definedName>
    <definedName name="solver_rhs6" localSheetId="2" hidden="1">'2_Rete_Logistica'!$B$11</definedName>
    <definedName name="solver_rhs6" localSheetId="3" hidden="1">'3_Pianificazione_Setup'!$J$29</definedName>
    <definedName name="solver_rhs7" localSheetId="2" hidden="1">'2_Rete_Logistica'!$B$12</definedName>
    <definedName name="solver_rhs7" localSheetId="3" hidden="1">0</definedName>
    <definedName name="solver_rhs8" localSheetId="2" hidden="1">'2_Rete_Logistica'!$B$13</definedName>
    <definedName name="solver_rhs8" localSheetId="3" hidden="1">0</definedName>
    <definedName name="solver_rhs9" localSheetId="3" hidden="1">0</definedName>
    <definedName name="solver_rlx" localSheetId="2" hidden="1">2</definedName>
    <definedName name="solver_rlx" localSheetId="3" hidden="1">1</definedName>
    <definedName name="solver_rlx" localSheetId="4" hidden="1">2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scl" localSheetId="2" hidden="1">1</definedName>
    <definedName name="solver_scl" localSheetId="3" hidden="1">2</definedName>
    <definedName name="solver_scl" localSheetId="4" hidden="1">1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yp" localSheetId="2" hidden="1">2</definedName>
    <definedName name="solver_typ" localSheetId="3" hidden="1">2</definedName>
    <definedName name="solver_typ" localSheetId="4" hidden="1">1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er" localSheetId="2" hidden="1">2</definedName>
    <definedName name="solver_ver" localSheetId="3" hidden="1">2</definedName>
    <definedName name="solver_ver" localSheetId="4" hidden="1">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4" i="5" l="1"/>
  <c r="D32" i="5"/>
  <c r="B32" i="5"/>
  <c r="D31" i="5"/>
  <c r="B31" i="5"/>
  <c r="B27" i="5"/>
  <c r="B39" i="4"/>
  <c r="B38" i="4"/>
  <c r="B23" i="3"/>
  <c r="E20" i="3"/>
  <c r="D20" i="3"/>
  <c r="C20" i="3"/>
  <c r="B20" i="3"/>
  <c r="F19" i="3"/>
  <c r="F18" i="3"/>
  <c r="F17" i="3"/>
  <c r="D27" i="2"/>
  <c r="E27" i="2" s="1"/>
  <c r="B27" i="2"/>
  <c r="D26" i="2"/>
  <c r="E26" i="2" s="1"/>
  <c r="B26" i="2"/>
  <c r="D25" i="2"/>
  <c r="E25" i="2" s="1"/>
  <c r="B25" i="2"/>
  <c r="B21" i="2"/>
  <c r="E31" i="5" l="1"/>
  <c r="E32" i="5"/>
  <c r="B40" i="4"/>
  <c r="B41" i="4" s="1"/>
</calcChain>
</file>

<file path=xl/sharedStrings.xml><?xml version="1.0" encoding="utf-8"?>
<sst xmlns="http://schemas.openxmlformats.org/spreadsheetml/2006/main" count="235" uniqueCount="156">
  <si>
    <t>ESERCIZI DI RICERCA OPERATIVA - USO DEL SOLVER DI EXCEL</t>
  </si>
  <si>
    <t>CONTENUTO DEL FILE</t>
  </si>
  <si>
    <t>Questo file contiene 4 esercizi di ottimizzazione pronti per essere risolti con il Solver di Excel:</t>
  </si>
  <si>
    <t>1. Mix Produttivo - Programmazione Lineare (LP)</t>
  </si>
  <si>
    <t>2. Rete Logistica - Problema di Trasporto</t>
  </si>
  <si>
    <t>3. Pianificazione con Setup - Mixed Integer Linear Programming (MILP)</t>
  </si>
  <si>
    <t>4. Selezione Progetti - Knapsack Problem (Binary Integer Programming)</t>
  </si>
  <si>
    <t>COME USARE IL SOLVER</t>
  </si>
  <si>
    <t>1. ATTIVARE IL SOLVER (se non già attivo):</t>
  </si>
  <si>
    <t xml:space="preserve">   Excel: File &gt; Opzioni &gt; Componenti aggiuntivi &gt; Solver &gt; Vai &gt; Spunta Solver</t>
  </si>
  <si>
    <t xml:space="preserve">   LibreOffice: Strumenti &gt; Risolutore (già integrato)</t>
  </si>
  <si>
    <t xml:space="preserve">   Google Sheets: Non supporta nativamente il Solver</t>
  </si>
  <si>
    <t>2. APRIRE IL SOLVER:</t>
  </si>
  <si>
    <t xml:space="preserve">   Excel: Dati &gt; Analisi &gt; Risolutore</t>
  </si>
  <si>
    <t xml:space="preserve">   LibreOffice: Strumenti &gt; Risolutore</t>
  </si>
  <si>
    <t>3. CONFIGURARE IL SOLVER:</t>
  </si>
  <si>
    <t xml:space="preserve">   Ogni foglio contiene istruzioni specifiche in fondo</t>
  </si>
  <si>
    <t xml:space="preserve">   - Cella obiettivo: la cella da massimizzare/minimizzare</t>
  </si>
  <si>
    <t xml:space="preserve">   - Variabili decisionali: celle evidenziate in GIALLO</t>
  </si>
  <si>
    <t xml:space="preserve">   - Vincoli: da aggiungere secondo le istruzioni</t>
  </si>
  <si>
    <t xml:space="preserve">   - Metodo: Simplex LP (o Evolutionary per problemi non lineari)</t>
  </si>
  <si>
    <t>4. RISOLVERE:</t>
  </si>
  <si>
    <t xml:space="preserve">   Cliccare 'Risolvi' e attendere la soluzione ottima</t>
  </si>
  <si>
    <t>LEGENDA COLORI</t>
  </si>
  <si>
    <t>BLU = Dati input (parametri del problema)</t>
  </si>
  <si>
    <t>GIALLO = Variabili decisionali (celle da ottimizzare)</t>
  </si>
  <si>
    <t>VERDE = Funzione obiettivo (risultato da massimizzare/minimizzare)</t>
  </si>
  <si>
    <t>NERO = Formule e calcoli</t>
  </si>
  <si>
    <t>NOTE IMPORTANTI</t>
  </si>
  <si>
    <t>• I fogli 3 e 4 richiedono variabili INTERE o BINARIE</t>
  </si>
  <si>
    <t>• Assicurarsi che il Solver supporti problemi con variabili intere</t>
  </si>
  <si>
    <t>• Excel Solver: Versioni recenti supportano MILP e BIP</t>
  </si>
  <si>
    <t>• LibreOffice Calc: Supporta variabili intere tramite DEPS o COIN-OR solvers</t>
  </si>
  <si>
    <t>• Per problemi complessi, considerare l'uso di software specializzati (Gurobi, CPLEX)</t>
  </si>
  <si>
    <t>RISULTATI ATTESI</t>
  </si>
  <si>
    <t>Quando il Solver trova una soluzione ottima:</t>
  </si>
  <si>
    <t>• Le celle GIALLE mostreranno i valori ottimali delle variabili decisionali</t>
  </si>
  <si>
    <t>• La cella VERDE mostrerà il valore ottimo dell'obiettivo</t>
  </si>
  <si>
    <t>• I vincoli saranno tutti soddisfatti (verificare le colonne 'Slack')</t>
  </si>
  <si>
    <t>ESERCIZIO SUGGERITO</t>
  </si>
  <si>
    <t>1. Iniziare dal Foglio 1 (Mix Produttivo) - il più semplice</t>
  </si>
  <si>
    <t>2. Procedere in ordine di difficoltà crescente</t>
  </si>
  <si>
    <t>3. Dopo aver risolto, provare a modificare i dati (celle BLU) e ri-ottimizzare</t>
  </si>
  <si>
    <t>4. Analizzare come cambiano le soluzioni ottime al variare dei parametri</t>
  </si>
  <si>
    <t>Buon lavoro!</t>
  </si>
  <si>
    <t>ESEMPIO 1: OTTIMIZZAZIONE MIX PRODUTTIVO</t>
  </si>
  <si>
    <t>Obiettivo: Massimizzare il profitto totale</t>
  </si>
  <si>
    <t>DATI PRODOTTI</t>
  </si>
  <si>
    <t>Prodotto</t>
  </si>
  <si>
    <t>Profitto (€/unità)</t>
  </si>
  <si>
    <t>Ore Macchina</t>
  </si>
  <si>
    <t>Ore Lavoro</t>
  </si>
  <si>
    <t>Kg Materiale</t>
  </si>
  <si>
    <t>A</t>
  </si>
  <si>
    <t>B</t>
  </si>
  <si>
    <t>C</t>
  </si>
  <si>
    <t>RISORSE DISPONIBILI</t>
  </si>
  <si>
    <t>Ore Macchina disponibili</t>
  </si>
  <si>
    <t>Ore Lavoro disponibili</t>
  </si>
  <si>
    <t>Kg Materiale disponibili</t>
  </si>
  <si>
    <t>VARIABILI DECISIONALI (da ottimizzare con Solver)</t>
  </si>
  <si>
    <t>Quantità da produrre</t>
  </si>
  <si>
    <t>FUNZIONE OBIETTIVO</t>
  </si>
  <si>
    <t>Profitto Totale (€)</t>
  </si>
  <si>
    <t>VINCOLI (Utilizzo ≤ Disponibile)</t>
  </si>
  <si>
    <t>Risorsa</t>
  </si>
  <si>
    <t>Utilizzato</t>
  </si>
  <si>
    <t>≤</t>
  </si>
  <si>
    <t>Disponibile</t>
  </si>
  <si>
    <t>Slack</t>
  </si>
  <si>
    <t>ISTRUZIONI PER IL SOLVER:</t>
  </si>
  <si>
    <t>1. Selezionare Dati &gt; Risolutore (o Solver)</t>
  </si>
  <si>
    <t>2. Obiettivo: B21 (Massimizza)</t>
  </si>
  <si>
    <t>3. Variabili: B17:B19</t>
  </si>
  <si>
    <t>4. Vincoli: B25 &lt;= D25, B26 &lt;= D26, B27 &lt;= D27, B17:B19 &gt;= 0</t>
  </si>
  <si>
    <t>5. Metodo: Simplex LP</t>
  </si>
  <si>
    <t>6. Risolvere</t>
  </si>
  <si>
    <t>ESEMPIO 2: OTTIMIZZAZIONE RETE LOGISTICA</t>
  </si>
  <si>
    <t>Obiettivo: Minimizzare i costi di trasporto totali</t>
  </si>
  <si>
    <t>COSTI DI TRASPORTO (€/unità)</t>
  </si>
  <si>
    <t>Da \ A</t>
  </si>
  <si>
    <t>D1</t>
  </si>
  <si>
    <t>D2</t>
  </si>
  <si>
    <t>D3</t>
  </si>
  <si>
    <t>D4</t>
  </si>
  <si>
    <t>S1</t>
  </si>
  <si>
    <t>S2</t>
  </si>
  <si>
    <t>S3</t>
  </si>
  <si>
    <t>CAPACITÀ STABILIMENTI (unità)</t>
  </si>
  <si>
    <t>DOMANDA DEPOSITI (unità)</t>
  </si>
  <si>
    <t>VARIABILI DECISIONALI: Quantità da trasportare da ogni stabilimento a ogni deposito</t>
  </si>
  <si>
    <t>TOT Spedito</t>
  </si>
  <si>
    <t>TOT Ricevuto</t>
  </si>
  <si>
    <t>Costo Totale Trasporto (€)</t>
  </si>
  <si>
    <t>VINCOLI</t>
  </si>
  <si>
    <t>1. Capacità Stabilimenti: F17 &lt;= B11, F18 &lt;= B12, F19 &lt;= B13</t>
  </si>
  <si>
    <t>2. Domanda Depositi: B20 &gt;= E11, C20 &gt;= E12, D20 &gt;= E13, E20 &gt;= E14</t>
  </si>
  <si>
    <t>3. Non negatività: B17:E19 &gt;= 0</t>
  </si>
  <si>
    <t>1. Obiettivo: B23 (Minimizza)</t>
  </si>
  <si>
    <t>2. Variabili: B17:E19</t>
  </si>
  <si>
    <t>3. Vincoli capacità: F17 &lt;= B11, F18 &lt;= B12, F19 &lt;= B13</t>
  </si>
  <si>
    <t>4. Vincoli domanda: B20 &gt;= E11, C20 &gt;= E12, D20 &gt;= E13, E20 &gt;= E14</t>
  </si>
  <si>
    <t>5. Non negatività: B17:E19 &gt;= 0</t>
  </si>
  <si>
    <t>6. Metodo: Simplex LP</t>
  </si>
  <si>
    <t>ESEMPIO 3: PIANIFICAZIONE PRODUZIONE CON SETUP</t>
  </si>
  <si>
    <t>Obiettivo: Minimizzare costi totali (produzione + setup + magazzino)</t>
  </si>
  <si>
    <t>Costo Prod (€/u)</t>
  </si>
  <si>
    <t>Costo Setup (€)</t>
  </si>
  <si>
    <t>Capacità (u/sett)</t>
  </si>
  <si>
    <t>P1</t>
  </si>
  <si>
    <t>P2</t>
  </si>
  <si>
    <t>P3</t>
  </si>
  <si>
    <t>ALTRI PARAMETRI</t>
  </si>
  <si>
    <t>Costo Magazzino (€/u/sett)</t>
  </si>
  <si>
    <t>DOMANDA (unità per settimana)</t>
  </si>
  <si>
    <t>Sett 1</t>
  </si>
  <si>
    <t>Sett 2</t>
  </si>
  <si>
    <t>Sett 3</t>
  </si>
  <si>
    <t>Sett 4</t>
  </si>
  <si>
    <t>NOTA: Questo è un problema MILP (Mixed Integer Linear Programming)</t>
  </si>
  <si>
    <t>Richiede variabili binarie per le decisioni di setup (y_pt)</t>
  </si>
  <si>
    <t>Excel Solver può risolvere problemi con variabili intere/binarie.</t>
  </si>
  <si>
    <t>VARIABILI DECISIONALI - PRODUZIONE (unità da produrre)</t>
  </si>
  <si>
    <t>VARIABILI BINARIE - SETUP (1=produciamo, 0=non produciamo)</t>
  </si>
  <si>
    <t>INVENTARIO FINALE (unità a fine settimana)</t>
  </si>
  <si>
    <t>Costo Produzione</t>
  </si>
  <si>
    <t>Costo Setup</t>
  </si>
  <si>
    <t>Costo Magazzino</t>
  </si>
  <si>
    <t>COSTO TOTALE</t>
  </si>
  <si>
    <t>3. Vincoli:</t>
  </si>
  <si>
    <t>ESEMPIO 4: SELEZIONE PROGETTI (KNAPSACK PROBLEM)</t>
  </si>
  <si>
    <t>Obiettivo: Massimizzare il VAN totale dei progetti selezionati</t>
  </si>
  <si>
    <t>DATI PROGETTI</t>
  </si>
  <si>
    <t>Progetto</t>
  </si>
  <si>
    <t>VAN (k€)</t>
  </si>
  <si>
    <t>Costo (k€)</t>
  </si>
  <si>
    <t>Risorse (FTE)</t>
  </si>
  <si>
    <t>Durata (mesi)</t>
  </si>
  <si>
    <t>P4</t>
  </si>
  <si>
    <t>P5</t>
  </si>
  <si>
    <t>P6</t>
  </si>
  <si>
    <t>VINCOLI RISORSE</t>
  </si>
  <si>
    <t>Budget disponibile (k€)</t>
  </si>
  <si>
    <t>Risorse disponibili (FTE)</t>
  </si>
  <si>
    <t>VARIABILI DECISIONALI (1=selezionato, 0=non selezionato)</t>
  </si>
  <si>
    <t>Selezionato?</t>
  </si>
  <si>
    <t>VAN Totale (k€)</t>
  </si>
  <si>
    <t>Budget (k€)</t>
  </si>
  <si>
    <t>Numero progetti selezionati</t>
  </si>
  <si>
    <t>1. Obiettivo: B27 (Massimizza)</t>
  </si>
  <si>
    <t>2. Variabili: B19:B24</t>
  </si>
  <si>
    <t xml:space="preserve">   - Budget: B31 &lt;= D31</t>
  </si>
  <si>
    <t xml:space="preserve">   - Risorse: B32 &lt;= D32</t>
  </si>
  <si>
    <t xml:space="preserve">   - Binarie: B19:B24 = binario (0 o 1)</t>
  </si>
  <si>
    <t>4. Metodo: Simplex LP (supporta variabili intere/binarie)</t>
  </si>
  <si>
    <t>5. Nota: Questo è un Binary Integer Programming (BIP)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</si>
</sst>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6"/>
      <color rgb="FFFF0000"/>
      <name val="Cambria"/>
      <charset val="1"/>
    </font>
    <font>
      <b/>
      <sz val="14"/>
      <name val="Cambria"/>
      <charset val="1"/>
    </font>
    <font>
      <b/>
      <sz val="11"/>
      <color rgb="FF0000FF"/>
      <name val="Cambria"/>
      <charset val="1"/>
    </font>
    <font>
      <b/>
      <sz val="16"/>
      <color rgb="FF008000"/>
      <name val="Cambria"/>
      <charset val="1"/>
    </font>
    <font>
      <i/>
      <sz val="11"/>
      <name val="Cambria"/>
      <charset val="1"/>
    </font>
    <font>
      <b/>
      <sz val="12"/>
      <name val="Cambria"/>
      <charset val="1"/>
    </font>
    <font>
      <b/>
      <sz val="11"/>
      <name val="Cambria"/>
      <charset val="1"/>
    </font>
    <font>
      <b/>
      <sz val="12"/>
      <color rgb="FFFF0000"/>
      <name val="Cambria"/>
      <charset val="1"/>
    </font>
    <font>
      <b/>
      <sz val="11"/>
      <color rgb="FFFF0000"/>
      <name val="Cambria"/>
      <charset val="1"/>
    </font>
    <font>
      <i/>
      <sz val="11"/>
      <color rgb="FFFF0000"/>
      <name val="Cambria"/>
      <charset val="1"/>
    </font>
    <font>
      <b/>
      <sz val="12"/>
      <color rgb="FF0000FF"/>
      <name val="Cambri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  <fill>
      <patternFill patternType="solid">
        <fgColor rgb="FFD3D3D3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0" fillId="3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4" borderId="0" xfId="0" applyFont="1" applyFill="1"/>
    <xf numFmtId="0" fontId="8" fillId="0" borderId="0" xfId="0" applyFont="1"/>
    <xf numFmtId="0" fontId="7" fillId="2" borderId="0" xfId="0" applyFont="1" applyFill="1"/>
    <xf numFmtId="0" fontId="7" fillId="0" borderId="0" xfId="0" applyFont="1"/>
    <xf numFmtId="3" fontId="6" fillId="3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5"/>
  <sheetViews>
    <sheetView zoomScaleNormal="100" workbookViewId="0"/>
  </sheetViews>
  <sheetFormatPr baseColWidth="10" defaultColWidth="8.6640625" defaultRowHeight="15" x14ac:dyDescent="0.2"/>
  <cols>
    <col min="1" max="5" width="80" customWidth="1"/>
  </cols>
  <sheetData>
    <row r="1" spans="1:1" ht="21" x14ac:dyDescent="0.25">
      <c r="A1" s="1" t="s">
        <v>0</v>
      </c>
    </row>
    <row r="3" spans="1:1" ht="18" x14ac:dyDescent="0.2">
      <c r="A3" s="2" t="s">
        <v>1</v>
      </c>
    </row>
    <row r="4" spans="1:1" x14ac:dyDescent="0.2">
      <c r="A4" t="s">
        <v>2</v>
      </c>
    </row>
    <row r="5" spans="1:1" x14ac:dyDescent="0.2">
      <c r="A5" t="s">
        <v>3</v>
      </c>
    </row>
    <row r="6" spans="1:1" x14ac:dyDescent="0.2">
      <c r="A6" t="s">
        <v>4</v>
      </c>
    </row>
    <row r="7" spans="1:1" x14ac:dyDescent="0.2">
      <c r="A7" t="s">
        <v>5</v>
      </c>
    </row>
    <row r="8" spans="1:1" x14ac:dyDescent="0.2">
      <c r="A8" t="s">
        <v>6</v>
      </c>
    </row>
    <row r="10" spans="1:1" ht="18" x14ac:dyDescent="0.2">
      <c r="A10" s="2" t="s">
        <v>7</v>
      </c>
    </row>
    <row r="11" spans="1:1" x14ac:dyDescent="0.2">
      <c r="A11" t="s">
        <v>8</v>
      </c>
    </row>
    <row r="12" spans="1:1" x14ac:dyDescent="0.2">
      <c r="A12" t="s">
        <v>9</v>
      </c>
    </row>
    <row r="13" spans="1:1" x14ac:dyDescent="0.2">
      <c r="A13" t="s">
        <v>10</v>
      </c>
    </row>
    <row r="14" spans="1:1" x14ac:dyDescent="0.2">
      <c r="A14" t="s">
        <v>11</v>
      </c>
    </row>
    <row r="16" spans="1:1" x14ac:dyDescent="0.2">
      <c r="A16" t="s">
        <v>12</v>
      </c>
    </row>
    <row r="17" spans="1:1" x14ac:dyDescent="0.2">
      <c r="A17" t="s">
        <v>13</v>
      </c>
    </row>
    <row r="18" spans="1:1" x14ac:dyDescent="0.2">
      <c r="A18" t="s">
        <v>14</v>
      </c>
    </row>
    <row r="20" spans="1:1" x14ac:dyDescent="0.2">
      <c r="A20" t="s">
        <v>15</v>
      </c>
    </row>
    <row r="21" spans="1:1" x14ac:dyDescent="0.2">
      <c r="A21" t="s">
        <v>16</v>
      </c>
    </row>
    <row r="22" spans="1:1" x14ac:dyDescent="0.2">
      <c r="A22" t="s">
        <v>17</v>
      </c>
    </row>
    <row r="23" spans="1:1" x14ac:dyDescent="0.2">
      <c r="A23" t="s">
        <v>18</v>
      </c>
    </row>
    <row r="24" spans="1:1" x14ac:dyDescent="0.2">
      <c r="A24" t="s">
        <v>19</v>
      </c>
    </row>
    <row r="25" spans="1:1" x14ac:dyDescent="0.2">
      <c r="A25" t="s">
        <v>20</v>
      </c>
    </row>
    <row r="27" spans="1:1" x14ac:dyDescent="0.2">
      <c r="A27" t="s">
        <v>21</v>
      </c>
    </row>
    <row r="28" spans="1:1" x14ac:dyDescent="0.2">
      <c r="A28" t="s">
        <v>22</v>
      </c>
    </row>
    <row r="30" spans="1:1" ht="18" x14ac:dyDescent="0.2">
      <c r="A30" s="2" t="s">
        <v>23</v>
      </c>
    </row>
    <row r="31" spans="1:1" x14ac:dyDescent="0.2">
      <c r="A31" s="3" t="s">
        <v>24</v>
      </c>
    </row>
    <row r="32" spans="1:1" x14ac:dyDescent="0.2">
      <c r="A32" s="4" t="s">
        <v>25</v>
      </c>
    </row>
    <row r="33" spans="1:1" x14ac:dyDescent="0.2">
      <c r="A33" s="5" t="s">
        <v>26</v>
      </c>
    </row>
    <row r="34" spans="1:1" x14ac:dyDescent="0.2">
      <c r="A34" t="s">
        <v>27</v>
      </c>
    </row>
    <row r="36" spans="1:1" ht="18" x14ac:dyDescent="0.2">
      <c r="A36" s="2" t="s">
        <v>28</v>
      </c>
    </row>
    <row r="37" spans="1:1" x14ac:dyDescent="0.2">
      <c r="A37" t="s">
        <v>29</v>
      </c>
    </row>
    <row r="38" spans="1:1" x14ac:dyDescent="0.2">
      <c r="A38" t="s">
        <v>30</v>
      </c>
    </row>
    <row r="39" spans="1:1" x14ac:dyDescent="0.2">
      <c r="A39" t="s">
        <v>31</v>
      </c>
    </row>
    <row r="40" spans="1:1" x14ac:dyDescent="0.2">
      <c r="A40" t="s">
        <v>32</v>
      </c>
    </row>
    <row r="41" spans="1:1" x14ac:dyDescent="0.2">
      <c r="A41" t="s">
        <v>33</v>
      </c>
    </row>
    <row r="43" spans="1:1" ht="18" x14ac:dyDescent="0.2">
      <c r="A43" s="2" t="s">
        <v>34</v>
      </c>
    </row>
    <row r="44" spans="1:1" x14ac:dyDescent="0.2">
      <c r="A44" t="s">
        <v>35</v>
      </c>
    </row>
    <row r="45" spans="1:1" x14ac:dyDescent="0.2">
      <c r="A45" t="s">
        <v>36</v>
      </c>
    </row>
    <row r="46" spans="1:1" x14ac:dyDescent="0.2">
      <c r="A46" t="s">
        <v>37</v>
      </c>
    </row>
    <row r="47" spans="1:1" x14ac:dyDescent="0.2">
      <c r="A47" t="s">
        <v>38</v>
      </c>
    </row>
    <row r="49" spans="1:1" ht="18" x14ac:dyDescent="0.2">
      <c r="A49" s="2" t="s">
        <v>39</v>
      </c>
    </row>
    <row r="50" spans="1:1" x14ac:dyDescent="0.2">
      <c r="A50" t="s">
        <v>40</v>
      </c>
    </row>
    <row r="51" spans="1:1" x14ac:dyDescent="0.2">
      <c r="A51" t="s">
        <v>41</v>
      </c>
    </row>
    <row r="52" spans="1:1" x14ac:dyDescent="0.2">
      <c r="A52" t="s">
        <v>42</v>
      </c>
    </row>
    <row r="53" spans="1:1" x14ac:dyDescent="0.2">
      <c r="A53" t="s">
        <v>43</v>
      </c>
    </row>
    <row r="55" spans="1:1" ht="21" x14ac:dyDescent="0.25">
      <c r="A55" s="6" t="s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"/>
  <sheetViews>
    <sheetView zoomScaleNormal="100" workbookViewId="0">
      <selection activeCell="C29" sqref="C29"/>
    </sheetView>
  </sheetViews>
  <sheetFormatPr baseColWidth="10" defaultColWidth="8.6640625" defaultRowHeight="15" x14ac:dyDescent="0.2"/>
  <cols>
    <col min="1" max="1" width="35" customWidth="1"/>
    <col min="2" max="2" width="20" customWidth="1"/>
    <col min="3" max="3" width="12" customWidth="1"/>
    <col min="4" max="4" width="20" customWidth="1"/>
    <col min="5" max="5" width="15" customWidth="1"/>
  </cols>
  <sheetData>
    <row r="1" spans="1:5" ht="18" x14ac:dyDescent="0.2">
      <c r="A1" s="2" t="s">
        <v>45</v>
      </c>
    </row>
    <row r="2" spans="1:5" x14ac:dyDescent="0.2">
      <c r="A2" s="7" t="s">
        <v>46</v>
      </c>
    </row>
    <row r="4" spans="1:5" ht="16" x14ac:dyDescent="0.2">
      <c r="A4" s="8" t="s">
        <v>47</v>
      </c>
    </row>
    <row r="5" spans="1:5" x14ac:dyDescent="0.2">
      <c r="A5" s="9" t="s">
        <v>48</v>
      </c>
      <c r="B5" s="9" t="s">
        <v>49</v>
      </c>
      <c r="C5" s="9" t="s">
        <v>50</v>
      </c>
      <c r="D5" s="9" t="s">
        <v>51</v>
      </c>
      <c r="E5" s="9" t="s">
        <v>52</v>
      </c>
    </row>
    <row r="6" spans="1:5" x14ac:dyDescent="0.2">
      <c r="A6" t="s">
        <v>53</v>
      </c>
      <c r="B6" s="3">
        <v>50</v>
      </c>
      <c r="C6" s="3">
        <v>2</v>
      </c>
      <c r="D6" s="3">
        <v>1</v>
      </c>
      <c r="E6" s="3">
        <v>3</v>
      </c>
    </row>
    <row r="7" spans="1:5" x14ac:dyDescent="0.2">
      <c r="A7" t="s">
        <v>54</v>
      </c>
      <c r="B7" s="3">
        <v>40</v>
      </c>
      <c r="C7" s="3">
        <v>1</v>
      </c>
      <c r="D7" s="3">
        <v>2</v>
      </c>
      <c r="E7" s="3">
        <v>2</v>
      </c>
    </row>
    <row r="8" spans="1:5" x14ac:dyDescent="0.2">
      <c r="A8" t="s">
        <v>55</v>
      </c>
      <c r="B8" s="3">
        <v>45</v>
      </c>
      <c r="C8" s="3">
        <v>1.5</v>
      </c>
      <c r="D8" s="3">
        <v>1</v>
      </c>
      <c r="E8" s="3">
        <v>2.5</v>
      </c>
    </row>
    <row r="10" spans="1:5" ht="16" x14ac:dyDescent="0.2">
      <c r="A10" s="8" t="s">
        <v>56</v>
      </c>
    </row>
    <row r="11" spans="1:5" x14ac:dyDescent="0.2">
      <c r="A11" t="s">
        <v>57</v>
      </c>
      <c r="B11" s="3">
        <v>100</v>
      </c>
    </row>
    <row r="12" spans="1:5" x14ac:dyDescent="0.2">
      <c r="A12" t="s">
        <v>58</v>
      </c>
      <c r="B12" s="3">
        <v>80</v>
      </c>
    </row>
    <row r="13" spans="1:5" x14ac:dyDescent="0.2">
      <c r="A13" t="s">
        <v>59</v>
      </c>
      <c r="B13" s="3">
        <v>150</v>
      </c>
    </row>
    <row r="15" spans="1:5" ht="16" x14ac:dyDescent="0.2">
      <c r="A15" s="10" t="s">
        <v>60</v>
      </c>
    </row>
    <row r="16" spans="1:5" x14ac:dyDescent="0.2">
      <c r="A16" s="9" t="s">
        <v>48</v>
      </c>
      <c r="B16" s="9" t="s">
        <v>61</v>
      </c>
    </row>
    <row r="17" spans="1:5" x14ac:dyDescent="0.2">
      <c r="A17" t="s">
        <v>53</v>
      </c>
      <c r="B17" s="11">
        <v>0</v>
      </c>
    </row>
    <row r="18" spans="1:5" x14ac:dyDescent="0.2">
      <c r="A18" t="s">
        <v>54</v>
      </c>
      <c r="B18" s="11">
        <v>0</v>
      </c>
    </row>
    <row r="19" spans="1:5" x14ac:dyDescent="0.2">
      <c r="A19" t="s">
        <v>55</v>
      </c>
      <c r="B19" s="11">
        <v>0</v>
      </c>
    </row>
    <row r="20" spans="1:5" ht="16" x14ac:dyDescent="0.2">
      <c r="A20" s="8" t="s">
        <v>62</v>
      </c>
    </row>
    <row r="21" spans="1:5" ht="16" x14ac:dyDescent="0.2">
      <c r="A21" s="12" t="s">
        <v>63</v>
      </c>
      <c r="B21" s="13">
        <f>SUMPRODUCT(B6:B8,B17:B19)</f>
        <v>0</v>
      </c>
    </row>
    <row r="23" spans="1:5" ht="16" x14ac:dyDescent="0.2">
      <c r="A23" s="8" t="s">
        <v>64</v>
      </c>
    </row>
    <row r="24" spans="1:5" x14ac:dyDescent="0.2">
      <c r="A24" s="9" t="s">
        <v>65</v>
      </c>
      <c r="B24" s="9" t="s">
        <v>66</v>
      </c>
      <c r="C24" s="9" t="s">
        <v>67</v>
      </c>
      <c r="D24" s="9" t="s">
        <v>68</v>
      </c>
      <c r="E24" s="9" t="s">
        <v>69</v>
      </c>
    </row>
    <row r="25" spans="1:5" x14ac:dyDescent="0.2">
      <c r="A25" t="s">
        <v>50</v>
      </c>
      <c r="B25">
        <f>SUMPRODUCT(C6:C8,B17:B19)</f>
        <v>0</v>
      </c>
      <c r="C25" t="s">
        <v>67</v>
      </c>
      <c r="D25">
        <f>B11</f>
        <v>100</v>
      </c>
      <c r="E25">
        <f>D25-B25</f>
        <v>100</v>
      </c>
    </row>
    <row r="26" spans="1:5" x14ac:dyDescent="0.2">
      <c r="A26" t="s">
        <v>51</v>
      </c>
      <c r="B26">
        <f>SUMPRODUCT(D6:D8,B17:B19)</f>
        <v>0</v>
      </c>
      <c r="C26" t="s">
        <v>67</v>
      </c>
      <c r="D26">
        <f>B12</f>
        <v>80</v>
      </c>
      <c r="E26">
        <f>D26-B26</f>
        <v>80</v>
      </c>
    </row>
    <row r="27" spans="1:5" x14ac:dyDescent="0.2">
      <c r="A27" t="s">
        <v>52</v>
      </c>
      <c r="B27">
        <f>SUMPRODUCT(E6:E8,B17:B19)</f>
        <v>0</v>
      </c>
      <c r="C27" t="s">
        <v>67</v>
      </c>
      <c r="D27">
        <f>B13</f>
        <v>150</v>
      </c>
      <c r="E27">
        <f>D27-B27</f>
        <v>150</v>
      </c>
    </row>
    <row r="29" spans="1:5" x14ac:dyDescent="0.2">
      <c r="A29" s="14" t="s">
        <v>70</v>
      </c>
    </row>
    <row r="30" spans="1:5" x14ac:dyDescent="0.2">
      <c r="A30" t="s">
        <v>71</v>
      </c>
    </row>
    <row r="31" spans="1:5" x14ac:dyDescent="0.2">
      <c r="A31" t="s">
        <v>72</v>
      </c>
    </row>
    <row r="32" spans="1:5" x14ac:dyDescent="0.2">
      <c r="A32" t="s">
        <v>73</v>
      </c>
    </row>
    <row r="33" spans="1:1" x14ac:dyDescent="0.2">
      <c r="A33" t="s">
        <v>74</v>
      </c>
    </row>
    <row r="34" spans="1:1" x14ac:dyDescent="0.2">
      <c r="A34" t="s">
        <v>75</v>
      </c>
    </row>
    <row r="35" spans="1:1" x14ac:dyDescent="0.2">
      <c r="A35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zoomScaleNormal="100" workbookViewId="0">
      <selection activeCell="C23" sqref="C23"/>
    </sheetView>
  </sheetViews>
  <sheetFormatPr baseColWidth="10" defaultColWidth="8.6640625" defaultRowHeight="15" x14ac:dyDescent="0.2"/>
  <cols>
    <col min="1" max="1" width="50" customWidth="1"/>
    <col min="2" max="6" width="15" customWidth="1"/>
  </cols>
  <sheetData>
    <row r="1" spans="1:6" ht="18" x14ac:dyDescent="0.2">
      <c r="A1" s="2" t="s">
        <v>77</v>
      </c>
    </row>
    <row r="2" spans="1:6" x14ac:dyDescent="0.2">
      <c r="A2" s="7" t="s">
        <v>78</v>
      </c>
    </row>
    <row r="4" spans="1:6" ht="16" x14ac:dyDescent="0.2">
      <c r="A4" s="8" t="s">
        <v>79</v>
      </c>
    </row>
    <row r="5" spans="1:6" x14ac:dyDescent="0.2">
      <c r="A5" s="9" t="s">
        <v>80</v>
      </c>
      <c r="B5" s="9" t="s">
        <v>81</v>
      </c>
      <c r="C5" s="9" t="s">
        <v>82</v>
      </c>
      <c r="D5" s="9" t="s">
        <v>83</v>
      </c>
      <c r="E5" s="9" t="s">
        <v>84</v>
      </c>
    </row>
    <row r="6" spans="1:6" x14ac:dyDescent="0.2">
      <c r="A6" s="12" t="s">
        <v>85</v>
      </c>
      <c r="B6" s="3">
        <v>8</v>
      </c>
      <c r="C6" s="3">
        <v>6</v>
      </c>
      <c r="D6" s="3">
        <v>10</v>
      </c>
      <c r="E6" s="3">
        <v>9</v>
      </c>
    </row>
    <row r="7" spans="1:6" x14ac:dyDescent="0.2">
      <c r="A7" s="12" t="s">
        <v>86</v>
      </c>
      <c r="B7" s="3">
        <v>9</v>
      </c>
      <c r="C7" s="3">
        <v>12</v>
      </c>
      <c r="D7" s="3">
        <v>13</v>
      </c>
      <c r="E7" s="3">
        <v>7</v>
      </c>
    </row>
    <row r="8" spans="1:6" x14ac:dyDescent="0.2">
      <c r="A8" s="12" t="s">
        <v>87</v>
      </c>
      <c r="B8" s="3">
        <v>14</v>
      </c>
      <c r="C8" s="3">
        <v>9</v>
      </c>
      <c r="D8" s="3">
        <v>16</v>
      </c>
      <c r="E8" s="3">
        <v>5</v>
      </c>
    </row>
    <row r="10" spans="1:6" ht="16" x14ac:dyDescent="0.2">
      <c r="A10" s="8" t="s">
        <v>88</v>
      </c>
      <c r="D10" s="8" t="s">
        <v>89</v>
      </c>
    </row>
    <row r="11" spans="1:6" x14ac:dyDescent="0.2">
      <c r="A11" t="s">
        <v>85</v>
      </c>
      <c r="B11" s="3">
        <v>150</v>
      </c>
      <c r="D11" t="s">
        <v>81</v>
      </c>
      <c r="E11" s="3">
        <v>80</v>
      </c>
    </row>
    <row r="12" spans="1:6" x14ac:dyDescent="0.2">
      <c r="A12" t="s">
        <v>86</v>
      </c>
      <c r="B12" s="3">
        <v>200</v>
      </c>
      <c r="D12" t="s">
        <v>82</v>
      </c>
      <c r="E12" s="3">
        <v>120</v>
      </c>
    </row>
    <row r="13" spans="1:6" x14ac:dyDescent="0.2">
      <c r="A13" t="s">
        <v>87</v>
      </c>
      <c r="B13" s="3">
        <v>150</v>
      </c>
      <c r="D13" t="s">
        <v>83</v>
      </c>
      <c r="E13" s="3">
        <v>150</v>
      </c>
    </row>
    <row r="14" spans="1:6" x14ac:dyDescent="0.2">
      <c r="D14" t="s">
        <v>84</v>
      </c>
      <c r="E14" s="3">
        <v>100</v>
      </c>
    </row>
    <row r="15" spans="1:6" ht="16" x14ac:dyDescent="0.2">
      <c r="A15" s="10" t="s">
        <v>90</v>
      </c>
    </row>
    <row r="16" spans="1:6" x14ac:dyDescent="0.2">
      <c r="A16" s="9" t="s">
        <v>80</v>
      </c>
      <c r="B16" s="9" t="s">
        <v>81</v>
      </c>
      <c r="C16" s="9" t="s">
        <v>82</v>
      </c>
      <c r="D16" s="9" t="s">
        <v>83</v>
      </c>
      <c r="E16" s="9" t="s">
        <v>84</v>
      </c>
      <c r="F16" s="9" t="s">
        <v>91</v>
      </c>
    </row>
    <row r="17" spans="1:6" x14ac:dyDescent="0.2">
      <c r="A17" s="12" t="s">
        <v>85</v>
      </c>
      <c r="B17" s="4">
        <v>0</v>
      </c>
      <c r="C17" s="4">
        <v>70</v>
      </c>
      <c r="D17" s="4">
        <v>80</v>
      </c>
      <c r="E17" s="4">
        <v>0</v>
      </c>
      <c r="F17">
        <f>SUM(B17:E17)</f>
        <v>150</v>
      </c>
    </row>
    <row r="18" spans="1:6" x14ac:dyDescent="0.2">
      <c r="A18" s="12" t="s">
        <v>86</v>
      </c>
      <c r="B18" s="4">
        <v>80</v>
      </c>
      <c r="C18" s="4">
        <v>0</v>
      </c>
      <c r="D18" s="4">
        <v>70</v>
      </c>
      <c r="E18" s="4">
        <v>0</v>
      </c>
      <c r="F18">
        <f>SUM(B18:E18)</f>
        <v>150</v>
      </c>
    </row>
    <row r="19" spans="1:6" x14ac:dyDescent="0.2">
      <c r="A19" s="12" t="s">
        <v>87</v>
      </c>
      <c r="B19" s="4">
        <v>0</v>
      </c>
      <c r="C19" s="4">
        <v>50</v>
      </c>
      <c r="D19" s="4">
        <v>0</v>
      </c>
      <c r="E19" s="4">
        <v>100</v>
      </c>
      <c r="F19">
        <f>SUM(B19:E19)</f>
        <v>150</v>
      </c>
    </row>
    <row r="20" spans="1:6" x14ac:dyDescent="0.2">
      <c r="A20" s="12" t="s">
        <v>92</v>
      </c>
      <c r="B20">
        <f>SUM(B17:B19)</f>
        <v>80</v>
      </c>
      <c r="C20">
        <f>SUM(C17:C19)</f>
        <v>120</v>
      </c>
      <c r="D20">
        <f>SUM(D17:D19)</f>
        <v>150</v>
      </c>
      <c r="E20">
        <f>SUM(E17:E19)</f>
        <v>100</v>
      </c>
    </row>
    <row r="22" spans="1:6" ht="16" x14ac:dyDescent="0.2">
      <c r="A22" s="8" t="s">
        <v>62</v>
      </c>
    </row>
    <row r="23" spans="1:6" ht="16" x14ac:dyDescent="0.2">
      <c r="A23" s="12" t="s">
        <v>93</v>
      </c>
      <c r="B23" s="13">
        <f>SUMPRODUCT(B6:E8,B17:E19)</f>
        <v>3800</v>
      </c>
    </row>
    <row r="25" spans="1:6" ht="16" x14ac:dyDescent="0.2">
      <c r="A25" s="8" t="s">
        <v>94</v>
      </c>
    </row>
    <row r="26" spans="1:6" x14ac:dyDescent="0.2">
      <c r="A26" t="s">
        <v>95</v>
      </c>
    </row>
    <row r="27" spans="1:6" x14ac:dyDescent="0.2">
      <c r="A27" t="s">
        <v>96</v>
      </c>
    </row>
    <row r="28" spans="1:6" x14ac:dyDescent="0.2">
      <c r="A28" t="s">
        <v>97</v>
      </c>
    </row>
    <row r="30" spans="1:6" x14ac:dyDescent="0.2">
      <c r="A30" s="14" t="s">
        <v>70</v>
      </c>
    </row>
    <row r="31" spans="1:6" x14ac:dyDescent="0.2">
      <c r="A31" t="s">
        <v>98</v>
      </c>
    </row>
    <row r="32" spans="1:6" x14ac:dyDescent="0.2">
      <c r="A32" t="s">
        <v>99</v>
      </c>
    </row>
    <row r="33" spans="1:1" x14ac:dyDescent="0.2">
      <c r="A33" t="s">
        <v>100</v>
      </c>
    </row>
    <row r="34" spans="1:1" x14ac:dyDescent="0.2">
      <c r="A34" t="s">
        <v>101</v>
      </c>
    </row>
    <row r="35" spans="1:1" x14ac:dyDescent="0.2">
      <c r="A35" t="s">
        <v>102</v>
      </c>
    </row>
    <row r="36" spans="1:1" x14ac:dyDescent="0.2">
      <c r="A36" t="s">
        <v>103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3"/>
  <sheetViews>
    <sheetView tabSelected="1" zoomScaleNormal="100" workbookViewId="0">
      <selection activeCell="B51" sqref="B51"/>
    </sheetView>
  </sheetViews>
  <sheetFormatPr baseColWidth="10" defaultColWidth="8.6640625" defaultRowHeight="15" x14ac:dyDescent="0.2"/>
  <cols>
    <col min="1" max="5" width="25" customWidth="1"/>
  </cols>
  <sheetData>
    <row r="1" spans="1:5" ht="18" x14ac:dyDescent="0.2">
      <c r="A1" s="2" t="s">
        <v>104</v>
      </c>
    </row>
    <row r="2" spans="1:5" x14ac:dyDescent="0.2">
      <c r="A2" s="7" t="s">
        <v>105</v>
      </c>
    </row>
    <row r="4" spans="1:5" ht="16" x14ac:dyDescent="0.2">
      <c r="A4" s="8" t="s">
        <v>47</v>
      </c>
    </row>
    <row r="5" spans="1:5" x14ac:dyDescent="0.2">
      <c r="A5" s="9" t="s">
        <v>48</v>
      </c>
      <c r="B5" s="9" t="s">
        <v>106</v>
      </c>
      <c r="C5" s="9" t="s">
        <v>107</v>
      </c>
      <c r="D5" s="9" t="s">
        <v>108</v>
      </c>
    </row>
    <row r="6" spans="1:5" x14ac:dyDescent="0.2">
      <c r="A6" t="s">
        <v>109</v>
      </c>
      <c r="B6" s="3">
        <v>20</v>
      </c>
      <c r="C6" s="3">
        <v>500</v>
      </c>
      <c r="D6" s="3">
        <v>100</v>
      </c>
    </row>
    <row r="7" spans="1:5" x14ac:dyDescent="0.2">
      <c r="A7" t="s">
        <v>110</v>
      </c>
      <c r="B7" s="3">
        <v>25</v>
      </c>
      <c r="C7" s="3">
        <v>700</v>
      </c>
      <c r="D7" s="3">
        <v>80</v>
      </c>
    </row>
    <row r="8" spans="1:5" x14ac:dyDescent="0.2">
      <c r="A8" t="s">
        <v>111</v>
      </c>
      <c r="B8" s="3">
        <v>30</v>
      </c>
      <c r="C8" s="3">
        <v>600</v>
      </c>
      <c r="D8" s="3">
        <v>90</v>
      </c>
    </row>
    <row r="10" spans="1:5" ht="16" x14ac:dyDescent="0.2">
      <c r="A10" s="8" t="s">
        <v>112</v>
      </c>
    </row>
    <row r="11" spans="1:5" x14ac:dyDescent="0.2">
      <c r="A11" t="s">
        <v>113</v>
      </c>
      <c r="B11" s="3">
        <v>2</v>
      </c>
    </row>
    <row r="13" spans="1:5" ht="16" x14ac:dyDescent="0.2">
      <c r="A13" s="8" t="s">
        <v>114</v>
      </c>
    </row>
    <row r="14" spans="1:5" x14ac:dyDescent="0.2">
      <c r="A14" s="9" t="s">
        <v>48</v>
      </c>
      <c r="B14" s="9" t="s">
        <v>115</v>
      </c>
      <c r="C14" s="9" t="s">
        <v>116</v>
      </c>
      <c r="D14" s="9" t="s">
        <v>117</v>
      </c>
      <c r="E14" s="9" t="s">
        <v>118</v>
      </c>
    </row>
    <row r="15" spans="1:5" x14ac:dyDescent="0.2">
      <c r="A15" t="s">
        <v>109</v>
      </c>
      <c r="B15" s="3">
        <v>50</v>
      </c>
      <c r="C15" s="3">
        <v>60</v>
      </c>
      <c r="D15" s="3">
        <v>40</v>
      </c>
      <c r="E15" s="3">
        <v>70</v>
      </c>
    </row>
    <row r="16" spans="1:5" x14ac:dyDescent="0.2">
      <c r="A16" t="s">
        <v>110</v>
      </c>
      <c r="B16" s="3">
        <v>40</v>
      </c>
      <c r="C16" s="3">
        <v>50</v>
      </c>
      <c r="D16" s="3">
        <v>30</v>
      </c>
      <c r="E16" s="3">
        <v>50</v>
      </c>
    </row>
    <row r="17" spans="1:5" x14ac:dyDescent="0.2">
      <c r="A17" t="s">
        <v>111</v>
      </c>
      <c r="B17" s="3">
        <v>30</v>
      </c>
      <c r="C17" s="3">
        <v>40</v>
      </c>
      <c r="D17" s="3">
        <v>50</v>
      </c>
      <c r="E17" s="3">
        <v>45</v>
      </c>
    </row>
    <row r="18" spans="1:5" x14ac:dyDescent="0.2">
      <c r="A18" s="15" t="s">
        <v>119</v>
      </c>
    </row>
    <row r="19" spans="1:5" x14ac:dyDescent="0.2">
      <c r="A19" s="15" t="s">
        <v>120</v>
      </c>
    </row>
    <row r="20" spans="1:5" x14ac:dyDescent="0.2">
      <c r="A20" s="7" t="s">
        <v>121</v>
      </c>
    </row>
    <row r="22" spans="1:5" ht="16" x14ac:dyDescent="0.2">
      <c r="A22" s="10" t="s">
        <v>122</v>
      </c>
    </row>
    <row r="23" spans="1:5" x14ac:dyDescent="0.2">
      <c r="A23" s="9" t="s">
        <v>48</v>
      </c>
      <c r="B23" s="9" t="s">
        <v>115</v>
      </c>
      <c r="C23" s="9" t="s">
        <v>116</v>
      </c>
      <c r="D23" s="9" t="s">
        <v>117</v>
      </c>
      <c r="E23" s="9" t="s">
        <v>118</v>
      </c>
    </row>
    <row r="24" spans="1:5" x14ac:dyDescent="0.2">
      <c r="A24" t="s">
        <v>109</v>
      </c>
      <c r="B24" s="4">
        <v>0</v>
      </c>
      <c r="C24" s="4">
        <v>0</v>
      </c>
      <c r="D24" s="4">
        <v>0</v>
      </c>
      <c r="E24" s="4">
        <v>0</v>
      </c>
    </row>
    <row r="25" spans="1:5" x14ac:dyDescent="0.2">
      <c r="A25" t="s">
        <v>110</v>
      </c>
      <c r="B25" s="4">
        <v>0</v>
      </c>
      <c r="C25" s="4">
        <v>0</v>
      </c>
      <c r="D25" s="4">
        <v>0</v>
      </c>
      <c r="E25" s="4">
        <v>0</v>
      </c>
    </row>
    <row r="26" spans="1:5" x14ac:dyDescent="0.2">
      <c r="A26" t="s">
        <v>111</v>
      </c>
      <c r="B26" s="4">
        <v>0</v>
      </c>
      <c r="C26" s="4">
        <v>0</v>
      </c>
      <c r="D26" s="4">
        <v>0</v>
      </c>
      <c r="E26" s="4">
        <v>0</v>
      </c>
    </row>
    <row r="27" spans="1:5" ht="16" x14ac:dyDescent="0.2">
      <c r="A27" s="10" t="s">
        <v>123</v>
      </c>
    </row>
    <row r="28" spans="1:5" x14ac:dyDescent="0.2">
      <c r="A28" s="9" t="s">
        <v>48</v>
      </c>
      <c r="B28" s="9" t="s">
        <v>115</v>
      </c>
      <c r="C28" s="9" t="s">
        <v>116</v>
      </c>
      <c r="D28" s="9" t="s">
        <v>117</v>
      </c>
      <c r="E28" s="9" t="s">
        <v>118</v>
      </c>
    </row>
    <row r="29" spans="1:5" x14ac:dyDescent="0.2">
      <c r="A29" t="s">
        <v>109</v>
      </c>
      <c r="B29" s="4">
        <v>0</v>
      </c>
      <c r="C29" s="4">
        <v>0</v>
      </c>
      <c r="D29" s="4">
        <v>0</v>
      </c>
      <c r="E29" s="4">
        <v>0</v>
      </c>
    </row>
    <row r="30" spans="1:5" x14ac:dyDescent="0.2">
      <c r="A30" t="s">
        <v>110</v>
      </c>
      <c r="B30" s="4">
        <v>0</v>
      </c>
      <c r="C30" s="4">
        <v>0</v>
      </c>
      <c r="D30" s="4">
        <v>0</v>
      </c>
      <c r="E30" s="4">
        <v>0</v>
      </c>
    </row>
    <row r="31" spans="1:5" x14ac:dyDescent="0.2">
      <c r="A31" t="s">
        <v>111</v>
      </c>
      <c r="B31" s="4">
        <v>0</v>
      </c>
      <c r="C31" s="4">
        <v>0</v>
      </c>
      <c r="D31" s="4">
        <v>0</v>
      </c>
      <c r="E31" s="4">
        <v>0</v>
      </c>
    </row>
    <row r="32" spans="1:5" ht="16" x14ac:dyDescent="0.2">
      <c r="A32" s="16" t="s">
        <v>124</v>
      </c>
    </row>
    <row r="33" spans="1:5" x14ac:dyDescent="0.2">
      <c r="A33" s="9" t="s">
        <v>48</v>
      </c>
      <c r="B33" s="9" t="s">
        <v>115</v>
      </c>
      <c r="C33" s="9" t="s">
        <v>116</v>
      </c>
      <c r="D33" s="9" t="s">
        <v>117</v>
      </c>
      <c r="E33" s="9" t="s">
        <v>118</v>
      </c>
    </row>
    <row r="34" spans="1:5" x14ac:dyDescent="0.2">
      <c r="A34" t="s">
        <v>109</v>
      </c>
      <c r="B34">
        <v>0</v>
      </c>
      <c r="C34">
        <v>0</v>
      </c>
      <c r="D34">
        <v>0</v>
      </c>
      <c r="E34">
        <v>0</v>
      </c>
    </row>
    <row r="35" spans="1:5" x14ac:dyDescent="0.2">
      <c r="A35" t="s">
        <v>110</v>
      </c>
      <c r="B35">
        <v>0</v>
      </c>
      <c r="C35">
        <v>0</v>
      </c>
      <c r="D35">
        <v>0</v>
      </c>
      <c r="E35">
        <v>0</v>
      </c>
    </row>
    <row r="36" spans="1:5" x14ac:dyDescent="0.2">
      <c r="A36" t="s">
        <v>111</v>
      </c>
      <c r="B36">
        <v>0</v>
      </c>
      <c r="C36">
        <v>0</v>
      </c>
      <c r="D36">
        <v>0</v>
      </c>
      <c r="E36">
        <v>0</v>
      </c>
    </row>
    <row r="37" spans="1:5" ht="16" x14ac:dyDescent="0.2">
      <c r="A37" s="8" t="s">
        <v>62</v>
      </c>
    </row>
    <row r="38" spans="1:5" x14ac:dyDescent="0.2">
      <c r="A38" t="s">
        <v>125</v>
      </c>
      <c r="B38">
        <f>SUMPRODUCT($B$6:$B$8,B24:B26)+SUMPRODUCT($B$6:$B$8,C24:C26)+SUMPRODUCT($B$6:$B$8,D24:D26)+SUMPRODUCT($B$6:$B$8,E24:E26)</f>
        <v>0</v>
      </c>
    </row>
    <row r="39" spans="1:5" x14ac:dyDescent="0.2">
      <c r="A39" t="s">
        <v>126</v>
      </c>
      <c r="B39">
        <f>SUMPRODUCT($C$6:$C$8,B29:B31)+SUMPRODUCT($C$6:$C$8,C29:C31)+SUMPRODUCT($C$6:$C$8,D29:D31)+SUMPRODUCT($C$6:$C$8,E29:E31)</f>
        <v>0</v>
      </c>
    </row>
    <row r="40" spans="1:5" x14ac:dyDescent="0.2">
      <c r="A40" t="s">
        <v>127</v>
      </c>
      <c r="B40">
        <f>$B$11*(SUM(B34:B36)+SUM(C34:C36)+SUM(D34:D36)+SUM(E34:E36))</f>
        <v>0</v>
      </c>
    </row>
    <row r="41" spans="1:5" ht="16" x14ac:dyDescent="0.2">
      <c r="A41" s="12" t="s">
        <v>128</v>
      </c>
      <c r="B41" s="13">
        <f>B38+B39+B40</f>
        <v>0</v>
      </c>
    </row>
    <row r="43" spans="1:5" x14ac:dyDescent="0.2">
      <c r="A43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4"/>
  <sheetViews>
    <sheetView topLeftCell="A10" zoomScale="121" zoomScaleNormal="100" workbookViewId="0">
      <selection activeCell="B9" sqref="B9"/>
    </sheetView>
  </sheetViews>
  <sheetFormatPr baseColWidth="10" defaultColWidth="8.6640625" defaultRowHeight="15" x14ac:dyDescent="0.2"/>
  <cols>
    <col min="1" max="1" width="40" customWidth="1"/>
    <col min="2" max="5" width="18" customWidth="1"/>
  </cols>
  <sheetData>
    <row r="1" spans="1:5" ht="18" x14ac:dyDescent="0.2">
      <c r="A1" s="2" t="s">
        <v>130</v>
      </c>
    </row>
    <row r="2" spans="1:5" x14ac:dyDescent="0.2">
      <c r="A2" s="7" t="s">
        <v>131</v>
      </c>
    </row>
    <row r="4" spans="1:5" ht="16" x14ac:dyDescent="0.2">
      <c r="A4" s="8" t="s">
        <v>132</v>
      </c>
    </row>
    <row r="5" spans="1:5" x14ac:dyDescent="0.2">
      <c r="A5" s="9" t="s">
        <v>133</v>
      </c>
      <c r="B5" s="9" t="s">
        <v>134</v>
      </c>
      <c r="C5" s="9" t="s">
        <v>135</v>
      </c>
      <c r="D5" s="9" t="s">
        <v>136</v>
      </c>
      <c r="E5" s="9" t="s">
        <v>137</v>
      </c>
    </row>
    <row r="6" spans="1:5" x14ac:dyDescent="0.2">
      <c r="A6" t="s">
        <v>109</v>
      </c>
      <c r="B6" s="3">
        <v>250</v>
      </c>
      <c r="C6" s="3">
        <v>120</v>
      </c>
      <c r="D6" s="3">
        <v>3</v>
      </c>
      <c r="E6" s="3">
        <v>12</v>
      </c>
    </row>
    <row r="7" spans="1:5" x14ac:dyDescent="0.2">
      <c r="A7" t="s">
        <v>110</v>
      </c>
      <c r="B7" s="3">
        <v>180</v>
      </c>
      <c r="C7" s="3">
        <v>80</v>
      </c>
      <c r="D7" s="3">
        <v>2</v>
      </c>
      <c r="E7" s="3">
        <v>8</v>
      </c>
    </row>
    <row r="8" spans="1:5" x14ac:dyDescent="0.2">
      <c r="A8" t="s">
        <v>111</v>
      </c>
      <c r="B8" s="3">
        <v>320</v>
      </c>
      <c r="C8" s="3">
        <v>150</v>
      </c>
      <c r="D8" s="3">
        <v>4</v>
      </c>
      <c r="E8" s="3">
        <v>15</v>
      </c>
    </row>
    <row r="9" spans="1:5" x14ac:dyDescent="0.2">
      <c r="A9" t="s">
        <v>138</v>
      </c>
      <c r="B9" s="3">
        <v>200</v>
      </c>
      <c r="C9" s="3">
        <v>100</v>
      </c>
      <c r="D9" s="3">
        <v>2</v>
      </c>
      <c r="E9" s="3">
        <v>10</v>
      </c>
    </row>
    <row r="10" spans="1:5" x14ac:dyDescent="0.2">
      <c r="A10" t="s">
        <v>139</v>
      </c>
      <c r="B10" s="3">
        <v>140</v>
      </c>
      <c r="C10" s="3">
        <v>70</v>
      </c>
      <c r="D10" s="3">
        <v>2</v>
      </c>
      <c r="E10" s="3">
        <v>6</v>
      </c>
    </row>
    <row r="11" spans="1:5" x14ac:dyDescent="0.2">
      <c r="A11" t="s">
        <v>140</v>
      </c>
      <c r="B11" s="3">
        <v>280</v>
      </c>
      <c r="C11" s="3">
        <v>130</v>
      </c>
      <c r="D11" s="3">
        <v>3</v>
      </c>
      <c r="E11" s="3">
        <v>14</v>
      </c>
    </row>
    <row r="13" spans="1:5" ht="16" x14ac:dyDescent="0.2">
      <c r="A13" s="8" t="s">
        <v>141</v>
      </c>
    </row>
    <row r="14" spans="1:5" x14ac:dyDescent="0.2">
      <c r="A14" t="s">
        <v>142</v>
      </c>
      <c r="B14" s="3">
        <v>300</v>
      </c>
    </row>
    <row r="15" spans="1:5" x14ac:dyDescent="0.2">
      <c r="A15" t="s">
        <v>143</v>
      </c>
      <c r="B15" s="3">
        <v>7</v>
      </c>
    </row>
    <row r="17" spans="1:5" ht="16" x14ac:dyDescent="0.2">
      <c r="A17" s="10" t="s">
        <v>144</v>
      </c>
    </row>
    <row r="18" spans="1:5" x14ac:dyDescent="0.2">
      <c r="A18" s="9" t="s">
        <v>133</v>
      </c>
      <c r="B18" s="9" t="s">
        <v>145</v>
      </c>
    </row>
    <row r="19" spans="1:5" x14ac:dyDescent="0.2">
      <c r="A19" t="s">
        <v>109</v>
      </c>
      <c r="B19" s="11">
        <v>1</v>
      </c>
    </row>
    <row r="20" spans="1:5" x14ac:dyDescent="0.2">
      <c r="A20" t="s">
        <v>110</v>
      </c>
      <c r="B20" s="11">
        <v>1</v>
      </c>
    </row>
    <row r="21" spans="1:5" x14ac:dyDescent="0.2">
      <c r="A21" t="s">
        <v>111</v>
      </c>
      <c r="B21" s="11">
        <v>0</v>
      </c>
    </row>
    <row r="22" spans="1:5" x14ac:dyDescent="0.2">
      <c r="A22" t="s">
        <v>138</v>
      </c>
      <c r="B22" s="11">
        <v>1</v>
      </c>
    </row>
    <row r="23" spans="1:5" x14ac:dyDescent="0.2">
      <c r="A23" t="s">
        <v>139</v>
      </c>
      <c r="B23" s="11">
        <v>0</v>
      </c>
    </row>
    <row r="24" spans="1:5" x14ac:dyDescent="0.2">
      <c r="A24" t="s">
        <v>140</v>
      </c>
      <c r="B24" s="11">
        <v>0</v>
      </c>
    </row>
    <row r="26" spans="1:5" ht="16" x14ac:dyDescent="0.2">
      <c r="A26" s="8" t="s">
        <v>62</v>
      </c>
    </row>
    <row r="27" spans="1:5" ht="16" x14ac:dyDescent="0.2">
      <c r="A27" s="12" t="s">
        <v>146</v>
      </c>
      <c r="B27" s="13">
        <f>SUMPRODUCT(B6:B11,B19:B24)</f>
        <v>630</v>
      </c>
    </row>
    <row r="29" spans="1:5" ht="16" x14ac:dyDescent="0.2">
      <c r="A29" s="8" t="s">
        <v>64</v>
      </c>
    </row>
    <row r="30" spans="1:5" x14ac:dyDescent="0.2">
      <c r="A30" s="9" t="s">
        <v>65</v>
      </c>
      <c r="B30" s="9" t="s">
        <v>66</v>
      </c>
      <c r="C30" s="9" t="s">
        <v>67</v>
      </c>
      <c r="D30" s="9" t="s">
        <v>68</v>
      </c>
      <c r="E30" s="9" t="s">
        <v>69</v>
      </c>
    </row>
    <row r="31" spans="1:5" x14ac:dyDescent="0.2">
      <c r="A31" t="s">
        <v>147</v>
      </c>
      <c r="B31">
        <f>SUMPRODUCT(C6:C11,B19:B24)</f>
        <v>300</v>
      </c>
      <c r="C31" t="s">
        <v>67</v>
      </c>
      <c r="D31">
        <f>B14</f>
        <v>300</v>
      </c>
      <c r="E31">
        <f>D31-B31</f>
        <v>0</v>
      </c>
    </row>
    <row r="32" spans="1:5" x14ac:dyDescent="0.2">
      <c r="A32" t="s">
        <v>136</v>
      </c>
      <c r="B32">
        <f>SUMPRODUCT(D6:D11,B19:B24)</f>
        <v>7</v>
      </c>
      <c r="C32" t="s">
        <v>67</v>
      </c>
      <c r="D32">
        <f>B15</f>
        <v>7</v>
      </c>
      <c r="E32">
        <f>D32-B32</f>
        <v>0</v>
      </c>
    </row>
    <row r="34" spans="1:2" x14ac:dyDescent="0.2">
      <c r="A34" t="s">
        <v>148</v>
      </c>
      <c r="B34" s="12">
        <f>SUM(B19:B24)</f>
        <v>3</v>
      </c>
    </row>
    <row r="36" spans="1:2" x14ac:dyDescent="0.2">
      <c r="A36" s="14" t="s">
        <v>70</v>
      </c>
    </row>
    <row r="37" spans="1:2" x14ac:dyDescent="0.2">
      <c r="A37" t="s">
        <v>149</v>
      </c>
    </row>
    <row r="38" spans="1:2" x14ac:dyDescent="0.2">
      <c r="A38" t="s">
        <v>150</v>
      </c>
    </row>
    <row r="39" spans="1:2" x14ac:dyDescent="0.2">
      <c r="A39" t="s">
        <v>129</v>
      </c>
    </row>
    <row r="40" spans="1:2" x14ac:dyDescent="0.2">
      <c r="A40" t="s">
        <v>151</v>
      </c>
    </row>
    <row r="41" spans="1:2" x14ac:dyDescent="0.2">
      <c r="A41" t="s">
        <v>152</v>
      </c>
    </row>
    <row r="42" spans="1:2" x14ac:dyDescent="0.2">
      <c r="A42" t="s">
        <v>153</v>
      </c>
    </row>
    <row r="43" spans="1:2" x14ac:dyDescent="0.2">
      <c r="A43" t="s">
        <v>154</v>
      </c>
    </row>
    <row r="44" spans="1:2" x14ac:dyDescent="0.2">
      <c r="A44" t="s">
        <v>155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0_Istruzioni</vt:lpstr>
      <vt:lpstr>1_Mix_Produttivo</vt:lpstr>
      <vt:lpstr>2_Rete_Logistica</vt:lpstr>
      <vt:lpstr>3_Pianificazione_Setup</vt:lpstr>
      <vt:lpstr>4_Knapsack_Progetti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ALESSIO SCLAFANI</cp:lastModifiedBy>
  <cp:revision>0</cp:revision>
  <dcterms:created xsi:type="dcterms:W3CDTF">2025-10-31T17:02:34Z</dcterms:created>
  <dcterms:modified xsi:type="dcterms:W3CDTF">2025-11-03T20:54:52Z</dcterms:modified>
  <dc:language>en-US</dc:language>
</cp:coreProperties>
</file>